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ing Sprint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666666"/>
      <sz val="10"/>
    </font>
    <font>
      <b val="1"/>
      <color rgb="001F3864"/>
      <sz val="11"/>
    </font>
    <font>
      <i val="1"/>
      <color rgb="00666666"/>
      <sz val="9"/>
    </font>
    <font>
      <b val="1"/>
      <color rgb="002E7D32"/>
      <sz val="11"/>
    </font>
    <font>
      <b val="1"/>
      <i val="1"/>
      <color rgb="002E7D32"/>
      <sz val="9"/>
    </font>
    <font>
      <b val="1"/>
      <color rgb="001F3864"/>
      <sz val="10"/>
    </font>
    <font>
      <b val="1"/>
      <color rgb="002E7D32"/>
      <sz val="10"/>
    </font>
    <font>
      <b val="1"/>
      <sz val="10"/>
    </font>
    <font>
      <sz val="10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bottom style="thin">
        <color rgb="001F3864"/>
      </bottom>
    </border>
    <border>
      <bottom style="thin">
        <color rgb="002E7D32"/>
      </bottom>
    </border>
    <border>
      <top style="thin">
        <color rgb="001F3864"/>
      </top>
      <bottom style="medium">
        <color rgb="001F3864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medium">
        <color rgb="001F3864"/>
      </top>
      <bottom style="medium">
        <color rgb="001F3864"/>
      </bottom>
    </border>
    <border>
      <left style="medium">
        <color rgb="002E7D32"/>
      </left>
      <top style="medium">
        <color rgb="002E7D32"/>
      </top>
      <bottom style="thin">
        <color rgb="002E7D32"/>
      </bottom>
    </border>
    <border>
      <left/>
      <right style="medium">
        <color rgb="002E7D32"/>
      </right>
      <top style="medium">
        <color rgb="002E7D32"/>
      </top>
      <bottom/>
    </border>
    <border>
      <left style="medium">
        <color rgb="002E7D32"/>
      </left>
      <right/>
      <top/>
      <bottom/>
    </border>
    <border>
      <left/>
      <right style="medium">
        <color rgb="002E7D32"/>
      </right>
      <top/>
      <bottom/>
    </border>
    <border>
      <left style="medium">
        <color rgb="002E7D32"/>
      </left>
      <top style="thin">
        <color rgb="001F3864"/>
      </top>
      <bottom style="medium">
        <color rgb="001F3864"/>
      </bottom>
    </border>
    <border>
      <right style="medium">
        <color rgb="002E7D32"/>
      </right>
      <top style="thin">
        <color rgb="001F3864"/>
      </top>
      <bottom style="medium">
        <color rgb="001F3864"/>
      </bottom>
    </border>
    <border>
      <left style="medium">
        <color rgb="002E7D32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medium">
        <color rgb="002E7D32"/>
      </right>
      <top style="thin">
        <color rgb="00DDDDDD"/>
      </top>
      <bottom style="thin">
        <color rgb="00DDDDDD"/>
      </bottom>
    </border>
    <border>
      <left style="medium">
        <color rgb="002E7D32"/>
      </left>
      <top style="medium">
        <color rgb="001F3864"/>
      </top>
      <bottom style="medium">
        <color rgb="002E7D32"/>
      </bottom>
    </border>
    <border>
      <right style="medium">
        <color rgb="002E7D32"/>
      </right>
      <top style="medium">
        <color rgb="001F3864"/>
      </top>
      <bottom style="medium">
        <color rgb="002E7D32"/>
      </bottom>
    </border>
    <border>
      <left/>
      <right/>
      <top/>
      <bottom style="thin">
        <color rgb="001F3864"/>
      </bottom>
      <diagonal/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medium">
        <color rgb="002E7D32"/>
      </left>
      <right style="medium">
        <color rgb="002E7D32"/>
      </right>
      <top/>
      <bottom/>
    </border>
    <border>
      <left/>
      <right style="medium">
        <color rgb="002E7D32"/>
      </right>
      <top/>
      <bottom/>
      <diagonal/>
    </border>
    <border>
      <left style="medium">
        <color rgb="002E7D32"/>
      </left>
      <right style="medium">
        <color rgb="002E7D32"/>
      </right>
      <top style="medium">
        <color rgb="002E7D32"/>
      </top>
      <bottom style="thin">
        <color rgb="002E7D32"/>
      </bottom>
    </border>
    <border>
      <left/>
      <right/>
      <top style="medium">
        <color rgb="002E7D32"/>
      </top>
      <bottom/>
      <diagonal/>
    </border>
    <border>
      <left/>
      <right style="medium">
        <color rgb="002E7D32"/>
      </right>
      <top style="medium">
        <color rgb="002E7D32"/>
      </top>
      <bottom/>
      <diagonal/>
    </border>
    <border>
      <left/>
      <right style="medium">
        <color rgb="002E7D32"/>
      </right>
      <top style="medium">
        <color rgb="002E7D32"/>
      </top>
      <bottom style="thin">
        <color rgb="002E7D32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7" fillId="0" borderId="3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left" vertical="center" wrapText="1"/>
    </xf>
    <xf numFmtId="1" fontId="0" fillId="0" borderId="4" applyAlignment="1" pivotButton="0" quotePrefix="0" xfId="0">
      <alignment horizontal="center" vertical="center" wrapText="1"/>
    </xf>
    <xf numFmtId="1" fontId="0" fillId="0" borderId="12" applyAlignment="1" pivotButton="0" quotePrefix="0" xfId="0">
      <alignment horizontal="center" vertical="center" wrapText="1"/>
    </xf>
    <xf numFmtId="1" fontId="0" fillId="0" borderId="13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1" fontId="7" fillId="0" borderId="5" applyAlignment="1" pivotButton="0" quotePrefix="0" xfId="0">
      <alignment horizontal="center" vertical="center" wrapText="1"/>
    </xf>
    <xf numFmtId="1" fontId="7" fillId="0" borderId="14" applyAlignment="1" pivotButton="0" quotePrefix="0" xfId="0">
      <alignment horizontal="center" vertical="center" wrapText="1"/>
    </xf>
    <xf numFmtId="1" fontId="7" fillId="0" borderId="1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0" fillId="0" borderId="4" pivotButton="0" quotePrefix="0" xfId="0"/>
    <xf numFmtId="1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center" vertical="center" wrapText="1"/>
    </xf>
    <xf numFmtId="165" fontId="7" fillId="0" borderId="4" applyAlignment="1" pivotButton="0" quotePrefix="0" xfId="0">
      <alignment horizontal="center" vertical="center" wrapText="1"/>
    </xf>
    <xf numFmtId="0" fontId="0" fillId="0" borderId="16" pivotButton="0" quotePrefix="0" xfId="0"/>
    <xf numFmtId="0" fontId="5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0" fontId="6" fillId="0" borderId="2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3" customWidth="1" min="16" max="16"/>
  </cols>
  <sheetData>
    <row r="1" ht="26" customHeight="1">
      <c r="A1" s="1" t="inlineStr">
        <is>
          <t>Rolling Sprint Capacity - Developers (tickets / sprint)</t>
        </is>
      </c>
    </row>
    <row r="2" ht="30" customHeight="1">
      <c r="A2" s="2" t="inlineStr">
        <is>
          <t>Rule: each sprint's capacity = average(previous sprint capacity, previous sprint actual). Capacity is computed automatically · enter actuals in the Actual columns.</t>
        </is>
      </c>
    </row>
    <row r="3" ht="6" customHeight="1"/>
    <row r="4" ht="18" customHeight="1">
      <c r="A4" s="3" t="n"/>
      <c r="B4" s="4" t="inlineStr">
        <is>
          <t>SPRINT 1</t>
        </is>
      </c>
      <c r="C4" s="27" t="n"/>
      <c r="D4" s="4" t="inlineStr">
        <is>
          <t>SPRINT 2</t>
        </is>
      </c>
      <c r="E4" s="27" t="n"/>
      <c r="F4" s="4" t="inlineStr">
        <is>
          <t>SPRINT 3</t>
        </is>
      </c>
      <c r="G4" s="27" t="n"/>
      <c r="H4" s="4" t="inlineStr">
        <is>
          <t>SPRINT 4</t>
        </is>
      </c>
      <c r="I4" s="27" t="n"/>
      <c r="J4" s="28" t="inlineStr">
        <is>
          <t>SPRINT 5  ● CURRENT</t>
        </is>
      </c>
      <c r="K4" s="29" t="n"/>
      <c r="L4" s="4" t="inlineStr">
        <is>
          <t>SPRINT 6</t>
        </is>
      </c>
      <c r="M4" s="27" t="n"/>
      <c r="N4" s="4" t="inlineStr">
        <is>
          <t>SPRINT 7</t>
        </is>
      </c>
      <c r="O4" s="27" t="n"/>
      <c r="P4" s="4" t="inlineStr">
        <is>
          <t>SPRINT 8</t>
        </is>
      </c>
    </row>
    <row r="5" ht="15" customHeight="1">
      <c r="B5" s="7" t="inlineStr">
        <is>
          <t>Jun 29 - Jul 3</t>
        </is>
      </c>
      <c r="D5" s="7" t="inlineStr">
        <is>
          <t>Jul 6 - Jul 10</t>
        </is>
      </c>
      <c r="F5" s="7" t="inlineStr">
        <is>
          <t>Jul 13 - Jul 17</t>
        </is>
      </c>
      <c r="H5" s="7" t="inlineStr">
        <is>
          <t>Jul 20 - Jul 24</t>
        </is>
      </c>
      <c r="J5" s="30" t="inlineStr">
        <is>
          <t>Jul 27 - Jul 31</t>
        </is>
      </c>
      <c r="K5" s="31" t="n"/>
      <c r="L5" s="7" t="inlineStr">
        <is>
          <t>Aug 3 - Aug 7</t>
        </is>
      </c>
      <c r="N5" s="7" t="inlineStr">
        <is>
          <t>Aug 10 - Aug 14</t>
        </is>
      </c>
      <c r="P5" s="7" t="inlineStr">
        <is>
          <t>Aug 17 - Aug 21</t>
        </is>
      </c>
    </row>
    <row r="6" ht="26" customHeight="1">
      <c r="A6" s="10" t="inlineStr">
        <is>
          <t>Developer</t>
        </is>
      </c>
      <c r="B6" s="10" t="inlineStr">
        <is>
          <t>Capacity</t>
        </is>
      </c>
      <c r="C6" s="10" t="inlineStr">
        <is>
          <t>Actual</t>
        </is>
      </c>
      <c r="D6" s="10" t="inlineStr">
        <is>
          <t>Capacity</t>
        </is>
      </c>
      <c r="E6" s="10" t="inlineStr">
        <is>
          <t>Actual</t>
        </is>
      </c>
      <c r="F6" s="10" t="inlineStr">
        <is>
          <t>Capacity</t>
        </is>
      </c>
      <c r="G6" s="10" t="inlineStr">
        <is>
          <t>Actual</t>
        </is>
      </c>
      <c r="H6" s="10" t="inlineStr">
        <is>
          <t>Capacity</t>
        </is>
      </c>
      <c r="I6" s="10" t="inlineStr">
        <is>
          <t>Actual</t>
        </is>
      </c>
      <c r="J6" s="11" t="inlineStr">
        <is>
          <t>Capacity</t>
        </is>
      </c>
      <c r="K6" s="12" t="inlineStr">
        <is>
          <t>Actual</t>
        </is>
      </c>
      <c r="L6" s="10" t="inlineStr">
        <is>
          <t>Capacity</t>
        </is>
      </c>
      <c r="M6" s="10" t="inlineStr">
        <is>
          <t>Actual</t>
        </is>
      </c>
      <c r="N6" s="10" t="inlineStr">
        <is>
          <t>Capacity</t>
        </is>
      </c>
      <c r="O6" s="10" t="inlineStr">
        <is>
          <t>Actual</t>
        </is>
      </c>
      <c r="P6" s="10" t="inlineStr">
        <is>
          <t>Capacity
(proj.)</t>
        </is>
      </c>
    </row>
    <row r="7" ht="18" customHeight="1">
      <c r="A7" s="13" t="inlineStr">
        <is>
          <t>Sidney</t>
        </is>
      </c>
      <c r="B7" s="14" t="n">
        <v>5</v>
      </c>
      <c r="C7" s="14" t="n">
        <v>4</v>
      </c>
      <c r="D7" s="14">
        <f>ROUND(AVERAGE(B7,C7),0)</f>
        <v/>
      </c>
      <c r="E7" s="14" t="n">
        <v>4</v>
      </c>
      <c r="F7" s="14">
        <f>IF(E7="",D7,ROUND(AVERAGE(D7,E7),0))</f>
        <v/>
      </c>
      <c r="G7" s="14" t="n">
        <v>9</v>
      </c>
      <c r="H7" s="14">
        <f>IF(G7="",F7,ROUND(AVERAGE(F7,G7),0))</f>
        <v/>
      </c>
      <c r="I7" s="14" t="n"/>
      <c r="J7" s="15">
        <f>IF(I7="",H7,ROUND(AVERAGE(H7,I7),0))</f>
        <v/>
      </c>
      <c r="K7" s="16" t="n"/>
      <c r="L7" s="14">
        <f>IF(K7="",J7,ROUND(AVERAGE(J7,K7),0))</f>
        <v/>
      </c>
      <c r="M7" s="14" t="n"/>
      <c r="N7" s="14">
        <f>IF(M7="",L7,ROUND(AVERAGE(L7,M7),0))</f>
        <v/>
      </c>
      <c r="O7" s="14" t="n"/>
      <c r="P7" s="14">
        <f>IF(O7="",N7,ROUND(AVERAGE(N7,O7),0))</f>
        <v/>
      </c>
    </row>
    <row r="8" ht="18" customHeight="1">
      <c r="A8" s="13" t="inlineStr">
        <is>
          <t>Denille</t>
        </is>
      </c>
      <c r="B8" s="14" t="n">
        <v>15</v>
      </c>
      <c r="C8" s="14" t="n">
        <v>16</v>
      </c>
      <c r="D8" s="14">
        <f>ROUND(AVERAGE(B8,C8),0)</f>
        <v/>
      </c>
      <c r="E8" s="14" t="n">
        <v>16</v>
      </c>
      <c r="F8" s="14">
        <f>IF(E8="",D8,ROUND(AVERAGE(D8,E8),0))</f>
        <v/>
      </c>
      <c r="G8" s="14" t="n">
        <v>7</v>
      </c>
      <c r="H8" s="14">
        <f>IF(G8="",F8,ROUND(AVERAGE(F8,G8),0))</f>
        <v/>
      </c>
      <c r="I8" s="14" t="n"/>
      <c r="J8" s="15">
        <f>IF(I8="",H8,ROUND(AVERAGE(H8,I8),0))</f>
        <v/>
      </c>
      <c r="K8" s="16" t="n"/>
      <c r="L8" s="14">
        <f>IF(K8="",J8,ROUND(AVERAGE(J8,K8),0))</f>
        <v/>
      </c>
      <c r="M8" s="14" t="n"/>
      <c r="N8" s="14">
        <f>IF(M8="",L8,ROUND(AVERAGE(L8,M8),0))</f>
        <v/>
      </c>
      <c r="O8" s="14" t="n"/>
      <c r="P8" s="14">
        <f>IF(O8="",N8,ROUND(AVERAGE(N8,O8),0))</f>
        <v/>
      </c>
    </row>
    <row r="9" ht="18" customHeight="1">
      <c r="A9" s="13" t="inlineStr">
        <is>
          <t>Dan</t>
        </is>
      </c>
      <c r="B9" s="14" t="n">
        <v>15</v>
      </c>
      <c r="C9" s="14" t="n">
        <v>11</v>
      </c>
      <c r="D9" s="14">
        <f>ROUND(AVERAGE(B9,C9),0)</f>
        <v/>
      </c>
      <c r="E9" s="14" t="n">
        <v>11</v>
      </c>
      <c r="F9" s="14">
        <f>IF(E9="",D9,ROUND(AVERAGE(D9,E9),0))</f>
        <v/>
      </c>
      <c r="G9" s="14" t="n">
        <v>13</v>
      </c>
      <c r="H9" s="14">
        <f>IF(G9="",F9,ROUND(AVERAGE(F9,G9),0))</f>
        <v/>
      </c>
      <c r="I9" s="14" t="n"/>
      <c r="J9" s="15">
        <f>IF(I9="",H9,ROUND(AVERAGE(H9,I9),0))</f>
        <v/>
      </c>
      <c r="K9" s="16" t="n"/>
      <c r="L9" s="14">
        <f>IF(K9="",J9,ROUND(AVERAGE(J9,K9),0))</f>
        <v/>
      </c>
      <c r="M9" s="14" t="n"/>
      <c r="N9" s="14">
        <f>IF(M9="",L9,ROUND(AVERAGE(L9,M9),0))</f>
        <v/>
      </c>
      <c r="O9" s="14" t="n"/>
      <c r="P9" s="14">
        <f>IF(O9="",N9,ROUND(AVERAGE(N9,O9),0))</f>
        <v/>
      </c>
    </row>
    <row r="10" ht="18" customHeight="1">
      <c r="A10" s="13" t="inlineStr">
        <is>
          <t>Rudolf</t>
        </is>
      </c>
      <c r="B10" s="14" t="n">
        <v>15</v>
      </c>
      <c r="C10" s="14" t="n">
        <v>15</v>
      </c>
      <c r="D10" s="14">
        <f>ROUND(AVERAGE(B10,C10),0)</f>
        <v/>
      </c>
      <c r="E10" s="14" t="n">
        <v>15</v>
      </c>
      <c r="F10" s="14">
        <f>IF(E10="",D10,ROUND(AVERAGE(D10,E10),0))</f>
        <v/>
      </c>
      <c r="G10" s="14" t="n">
        <v>16</v>
      </c>
      <c r="H10" s="14">
        <f>IF(G10="",F10,ROUND(AVERAGE(F10,G10),0))</f>
        <v/>
      </c>
      <c r="I10" s="14" t="n"/>
      <c r="J10" s="15">
        <f>IF(I10="",H10,ROUND(AVERAGE(H10,I10),0))</f>
        <v/>
      </c>
      <c r="K10" s="16" t="n"/>
      <c r="L10" s="14">
        <f>IF(K10="",J10,ROUND(AVERAGE(J10,K10),0))</f>
        <v/>
      </c>
      <c r="M10" s="14" t="n"/>
      <c r="N10" s="14">
        <f>IF(M10="",L10,ROUND(AVERAGE(L10,M10),0))</f>
        <v/>
      </c>
      <c r="O10" s="14" t="n"/>
      <c r="P10" s="14">
        <f>IF(O10="",N10,ROUND(AVERAGE(N10,O10),0))</f>
        <v/>
      </c>
    </row>
    <row r="11" ht="18" customHeight="1">
      <c r="A11" s="13" t="inlineStr">
        <is>
          <t>Allen</t>
        </is>
      </c>
      <c r="B11" s="14" t="n">
        <v>15</v>
      </c>
      <c r="C11" s="14" t="n">
        <v>24</v>
      </c>
      <c r="D11" s="14">
        <f>ROUND(AVERAGE(B11,C11),0)</f>
        <v/>
      </c>
      <c r="E11" s="14" t="n">
        <v>24</v>
      </c>
      <c r="F11" s="14">
        <f>IF(E11="",D11,ROUND(AVERAGE(D11,E11),0))</f>
        <v/>
      </c>
      <c r="G11" s="14" t="n">
        <v>14</v>
      </c>
      <c r="H11" s="14">
        <f>IF(G11="",F11,ROUND(AVERAGE(F11,G11),0))</f>
        <v/>
      </c>
      <c r="I11" s="14" t="n"/>
      <c r="J11" s="15">
        <f>IF(I11="",H11,ROUND(AVERAGE(H11,I11),0))</f>
        <v/>
      </c>
      <c r="K11" s="16" t="n"/>
      <c r="L11" s="14">
        <f>IF(K11="",J11,ROUND(AVERAGE(J11,K11),0))</f>
        <v/>
      </c>
      <c r="M11" s="14" t="n"/>
      <c r="N11" s="14">
        <f>IF(M11="",L11,ROUND(AVERAGE(L11,M11),0))</f>
        <v/>
      </c>
      <c r="O11" s="14" t="n"/>
      <c r="P11" s="14">
        <f>IF(O11="",N11,ROUND(AVERAGE(N11,O11),0))</f>
        <v/>
      </c>
    </row>
    <row r="12" ht="18" customHeight="1">
      <c r="A12" s="13" t="inlineStr">
        <is>
          <t>Shane</t>
        </is>
      </c>
      <c r="B12" s="14" t="n">
        <v>10</v>
      </c>
      <c r="C12" s="14" t="n">
        <v>12</v>
      </c>
      <c r="D12" s="14">
        <f>ROUND(AVERAGE(B12,C12),0)</f>
        <v/>
      </c>
      <c r="E12" s="14" t="n">
        <v>12</v>
      </c>
      <c r="F12" s="14">
        <f>IF(E12="",D12,ROUND(AVERAGE(D12,E12),0))</f>
        <v/>
      </c>
      <c r="G12" s="14" t="n">
        <v>23</v>
      </c>
      <c r="H12" s="14">
        <f>IF(G12="",F12,ROUND(AVERAGE(F12,G12),0))</f>
        <v/>
      </c>
      <c r="I12" s="14" t="n"/>
      <c r="J12" s="15">
        <f>IF(I12="",H12,ROUND(AVERAGE(H12,I12),0))</f>
        <v/>
      </c>
      <c r="K12" s="16" t="n"/>
      <c r="L12" s="14">
        <f>IF(K12="",J12,ROUND(AVERAGE(J12,K12),0))</f>
        <v/>
      </c>
      <c r="M12" s="14" t="n"/>
      <c r="N12" s="14">
        <f>IF(M12="",L12,ROUND(AVERAGE(L12,M12),0))</f>
        <v/>
      </c>
      <c r="O12" s="14" t="n"/>
      <c r="P12" s="14">
        <f>IF(O12="",N12,ROUND(AVERAGE(N12,O12),0))</f>
        <v/>
      </c>
    </row>
    <row r="13" ht="18" customHeight="1">
      <c r="A13" s="13" t="inlineStr">
        <is>
          <t>JC</t>
        </is>
      </c>
      <c r="B13" s="14" t="n">
        <v>15</v>
      </c>
      <c r="C13" s="14" t="n">
        <v>20</v>
      </c>
      <c r="D13" s="14">
        <f>ROUND(AVERAGE(B13,C13),0)</f>
        <v/>
      </c>
      <c r="E13" s="14" t="n">
        <v>20</v>
      </c>
      <c r="F13" s="14">
        <f>IF(E13="",D13,ROUND(AVERAGE(D13,E13),0))</f>
        <v/>
      </c>
      <c r="G13" s="14" t="n">
        <v>38</v>
      </c>
      <c r="H13" s="14">
        <f>IF(G13="",F13,ROUND(AVERAGE(F13,G13),0))</f>
        <v/>
      </c>
      <c r="I13" s="14" t="n"/>
      <c r="J13" s="15">
        <f>IF(I13="",H13,ROUND(AVERAGE(H13,I13),0))</f>
        <v/>
      </c>
      <c r="K13" s="16" t="n"/>
      <c r="L13" s="14">
        <f>IF(K13="",J13,ROUND(AVERAGE(J13,K13),0))</f>
        <v/>
      </c>
      <c r="M13" s="14" t="n"/>
      <c r="N13" s="14">
        <f>IF(M13="",L13,ROUND(AVERAGE(L13,M13),0))</f>
        <v/>
      </c>
      <c r="O13" s="14" t="n"/>
      <c r="P13" s="14">
        <f>IF(O13="",N13,ROUND(AVERAGE(N13,O13),0))</f>
        <v/>
      </c>
    </row>
    <row r="14" ht="18" customHeight="1">
      <c r="A14" s="13" t="inlineStr">
        <is>
          <t>PAM</t>
        </is>
      </c>
      <c r="B14" s="14" t="n">
        <v>5</v>
      </c>
      <c r="C14" s="14" t="n">
        <v>12</v>
      </c>
      <c r="D14" s="14">
        <f>ROUND(AVERAGE(B14,C14),0)</f>
        <v/>
      </c>
      <c r="E14" s="14" t="n">
        <v>12</v>
      </c>
      <c r="F14" s="14">
        <f>IF(E14="",D14,ROUND(AVERAGE(D14,E14),0))</f>
        <v/>
      </c>
      <c r="G14" s="14" t="n">
        <v>26</v>
      </c>
      <c r="H14" s="14">
        <f>IF(G14="",F14,ROUND(AVERAGE(F14,G14),0))</f>
        <v/>
      </c>
      <c r="I14" s="14" t="n"/>
      <c r="J14" s="15">
        <f>IF(I14="",H14,ROUND(AVERAGE(H14,I14),0))</f>
        <v/>
      </c>
      <c r="K14" s="16" t="n"/>
      <c r="L14" s="14">
        <f>IF(K14="",J14,ROUND(AVERAGE(J14,K14),0))</f>
        <v/>
      </c>
      <c r="M14" s="14" t="n"/>
      <c r="N14" s="14">
        <f>IF(M14="",L14,ROUND(AVERAGE(L14,M14),0))</f>
        <v/>
      </c>
      <c r="O14" s="14" t="n"/>
      <c r="P14" s="14">
        <f>IF(O14="",N14,ROUND(AVERAGE(N14,O14),0))</f>
        <v/>
      </c>
    </row>
    <row r="15" ht="18" customHeight="1">
      <c r="A15" s="13" t="inlineStr">
        <is>
          <t>Muscan</t>
        </is>
      </c>
      <c r="B15" s="14" t="n">
        <v>10</v>
      </c>
      <c r="C15" s="14" t="n">
        <v>5</v>
      </c>
      <c r="D15" s="14">
        <f>ROUND(AVERAGE(B15,C15),0)</f>
        <v/>
      </c>
      <c r="E15" s="14" t="n">
        <v>5</v>
      </c>
      <c r="F15" s="14">
        <f>IF(E15="",D15,ROUND(AVERAGE(D15,E15),0))</f>
        <v/>
      </c>
      <c r="G15" s="14" t="n">
        <v>12</v>
      </c>
      <c r="H15" s="14">
        <f>IF(G15="",F15,ROUND(AVERAGE(F15,G15),0))</f>
        <v/>
      </c>
      <c r="I15" s="14" t="n"/>
      <c r="J15" s="15">
        <f>IF(I15="",H15,ROUND(AVERAGE(H15,I15),0))</f>
        <v/>
      </c>
      <c r="K15" s="16" t="n"/>
      <c r="L15" s="14">
        <f>IF(K15="",J15,ROUND(AVERAGE(J15,K15),0))</f>
        <v/>
      </c>
      <c r="M15" s="14" t="n"/>
      <c r="N15" s="14">
        <f>IF(M15="",L15,ROUND(AVERAGE(L15,M15),0))</f>
        <v/>
      </c>
      <c r="O15" s="14" t="n"/>
      <c r="P15" s="14">
        <f>IF(O15="",N15,ROUND(AVERAGE(N15,O15),0))</f>
        <v/>
      </c>
    </row>
    <row r="16" ht="20" customHeight="1">
      <c r="A16" s="17" t="inlineStr">
        <is>
          <t>TOTAL</t>
        </is>
      </c>
      <c r="B16" s="18">
        <f>SUM(B7:B15)</f>
        <v/>
      </c>
      <c r="C16" s="18">
        <f>SUM(C7:C15)</f>
        <v/>
      </c>
      <c r="D16" s="18">
        <f>SUM(D7:D15)</f>
        <v/>
      </c>
      <c r="E16" s="18">
        <f>SUM(E7:E15)</f>
        <v/>
      </c>
      <c r="F16" s="18">
        <f>SUM(F7:F15)</f>
        <v/>
      </c>
      <c r="G16" s="18">
        <f>SUM(G7:G15)</f>
        <v/>
      </c>
      <c r="H16" s="18">
        <f>SUM(H7:H15)</f>
        <v/>
      </c>
      <c r="I16" s="18">
        <f>SUM(I7:I15)</f>
        <v/>
      </c>
      <c r="J16" s="19">
        <f>SUM(J7:J15)</f>
        <v/>
      </c>
      <c r="K16" s="20">
        <f>SUM(K7:K15)</f>
        <v/>
      </c>
      <c r="L16" s="18">
        <f>SUM(L7:L15)</f>
        <v/>
      </c>
      <c r="M16" s="18">
        <f>SUM(M7:M15)</f>
        <v/>
      </c>
      <c r="N16" s="18">
        <f>SUM(N7:N15)</f>
        <v/>
      </c>
      <c r="O16" s="18">
        <f>SUM(O7:O15)</f>
        <v/>
      </c>
      <c r="P16" s="18">
        <f>SUM(P7:P15)</f>
        <v/>
      </c>
    </row>
    <row r="18" ht="20" customHeight="1">
      <c r="A18" s="21" t="inlineStr">
        <is>
          <t>SUMMARY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</row>
    <row r="19" ht="18" customHeight="1">
      <c r="A19" s="22" t="inlineStr">
        <is>
          <t>Team total capacity — Sprint 1</t>
        </is>
      </c>
      <c r="B19" s="32" t="n"/>
      <c r="C19" s="32" t="n"/>
      <c r="D19" s="32" t="n"/>
      <c r="E19" s="33" t="n"/>
      <c r="F19" s="24">
        <f>SUM(B7:B15)</f>
        <v/>
      </c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3" t="n"/>
    </row>
    <row r="20" ht="18" customHeight="1">
      <c r="A20" s="22" t="inlineStr">
        <is>
          <t>Team total actual — Sprint 1</t>
        </is>
      </c>
      <c r="B20" s="32" t="n"/>
      <c r="C20" s="32" t="n"/>
      <c r="D20" s="32" t="n"/>
      <c r="E20" s="33" t="n"/>
      <c r="F20" s="24">
        <f>SUM(C7:C15)</f>
        <v/>
      </c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3" t="n"/>
    </row>
    <row r="21" ht="18" customHeight="1">
      <c r="A21" s="22" t="inlineStr">
        <is>
          <t>Team total capacity — Sprint 2</t>
        </is>
      </c>
      <c r="B21" s="32" t="n"/>
      <c r="C21" s="32" t="n"/>
      <c r="D21" s="32" t="n"/>
      <c r="E21" s="33" t="n"/>
      <c r="F21" s="24">
        <f>SUM(D7:D15)</f>
        <v/>
      </c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3" t="n"/>
    </row>
    <row r="22" ht="18" customHeight="1">
      <c r="A22" s="22" t="inlineStr">
        <is>
          <t>Team total capacity — latest sprint</t>
        </is>
      </c>
      <c r="B22" s="32" t="n"/>
      <c r="C22" s="32" t="n"/>
      <c r="D22" s="32" t="n"/>
      <c r="E22" s="33" t="n"/>
      <c r="F22" s="24">
        <f>SUM(N7:N15)</f>
        <v/>
      </c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3" t="n"/>
    </row>
    <row r="23" ht="18" customHeight="1">
      <c r="A23" s="22" t="inlineStr">
        <is>
          <t>Avg capacity / dev — latest sprint</t>
        </is>
      </c>
      <c r="B23" s="32" t="n"/>
      <c r="C23" s="32" t="n"/>
      <c r="D23" s="32" t="n"/>
      <c r="E23" s="33" t="n"/>
      <c r="F23" s="25">
        <f>AVERAGE(N7:N15)</f>
        <v/>
      </c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3" t="n"/>
    </row>
    <row r="24" ht="18" customHeight="1">
      <c r="A24" s="22" t="inlineStr">
        <is>
          <t>Sprint 1 utilization (actual / plan)</t>
        </is>
      </c>
      <c r="B24" s="32" t="n"/>
      <c r="C24" s="32" t="n"/>
      <c r="D24" s="32" t="n"/>
      <c r="E24" s="33" t="n"/>
      <c r="F24" s="26">
        <f>SUM(C7:C15)/SUM(B7:B15)</f>
        <v/>
      </c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3" t="n"/>
    </row>
  </sheetData>
  <mergeCells count="31">
    <mergeCell ref="F4:G4"/>
    <mergeCell ref="A24:E24"/>
    <mergeCell ref="J5:K5"/>
    <mergeCell ref="F19:P19"/>
    <mergeCell ref="H4:I4"/>
    <mergeCell ref="P5"/>
    <mergeCell ref="F24:P24"/>
    <mergeCell ref="F5:G5"/>
    <mergeCell ref="F21:P21"/>
    <mergeCell ref="P4"/>
    <mergeCell ref="F20:P20"/>
    <mergeCell ref="L5:M5"/>
    <mergeCell ref="N5:O5"/>
    <mergeCell ref="A21:E21"/>
    <mergeCell ref="J4:K4"/>
    <mergeCell ref="L4:M4"/>
    <mergeCell ref="A1:P1"/>
    <mergeCell ref="F23:P23"/>
    <mergeCell ref="D4:E4"/>
    <mergeCell ref="A23:E23"/>
    <mergeCell ref="F22:P22"/>
    <mergeCell ref="A22:E22"/>
    <mergeCell ref="A20:E20"/>
    <mergeCell ref="B5:C5"/>
    <mergeCell ref="A18:P18"/>
    <mergeCell ref="D5:E5"/>
    <mergeCell ref="A19:E19"/>
    <mergeCell ref="H5:I5"/>
    <mergeCell ref="B4:C4"/>
    <mergeCell ref="N4:O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2026-08-03T04:51:00Z</dcterms:created>
  <dcterms:modified xmlns:dcterms="http://purl.org/dc/terms/" xmlns:xsi="http://www.w3.org/2001/XMLSchema-instance" xsi:type="dcterms:W3CDTF">2026-08-03T04:51:00Z</dcterms:modified>
</cp:coreProperties>
</file>